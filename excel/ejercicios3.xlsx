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allerquinto\Desktop\Bautista Nuñez\excel\"/>
    </mc:Choice>
  </mc:AlternateContent>
  <xr:revisionPtr revIDLastSave="0" documentId="8_{41DA9A6F-BBB7-4859-BB04-5B273F01426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oja1" sheetId="1" r:id="rId1"/>
    <sheet name="Hoja2" sheetId="2" r:id="rId2"/>
  </sheets>
  <definedNames>
    <definedName name="zzz666">Hoja1!$A$3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2" l="1"/>
  <c r="G8" i="2"/>
  <c r="F12" i="2"/>
  <c r="F11" i="2"/>
  <c r="F10" i="2"/>
  <c r="F9" i="2"/>
  <c r="B2" i="1"/>
  <c r="C2" i="1"/>
  <c r="B8" i="1"/>
  <c r="B9" i="1"/>
  <c r="B10" i="1"/>
  <c r="B7" i="1"/>
  <c r="C3" i="1"/>
  <c r="C4" i="1"/>
  <c r="B3" i="1"/>
  <c r="B4" i="1"/>
</calcChain>
</file>

<file path=xl/sharedStrings.xml><?xml version="1.0" encoding="utf-8"?>
<sst xmlns="http://schemas.openxmlformats.org/spreadsheetml/2006/main" count="46" uniqueCount="36">
  <si>
    <t>nombre</t>
  </si>
  <si>
    <t>Nasso, Agustin</t>
  </si>
  <si>
    <t>apellido</t>
  </si>
  <si>
    <t>Perez olmos, Ramón Carlos</t>
  </si>
  <si>
    <t>Lopezano, Mariela</t>
  </si>
  <si>
    <t>gerardoluis@gmail.com</t>
  </si>
  <si>
    <t>pedro1232@gmail.ocm</t>
  </si>
  <si>
    <t>ana333@gmail.com</t>
  </si>
  <si>
    <t>estebanquito@gmail.com</t>
  </si>
  <si>
    <t>email</t>
  </si>
  <si>
    <t>usuario</t>
  </si>
  <si>
    <t>Nombre</t>
  </si>
  <si>
    <t>Apellido</t>
  </si>
  <si>
    <t>Genero</t>
  </si>
  <si>
    <t>Curso</t>
  </si>
  <si>
    <t>Nota</t>
  </si>
  <si>
    <t>Luis</t>
  </si>
  <si>
    <t>Romero</t>
  </si>
  <si>
    <t>M</t>
  </si>
  <si>
    <t>5A</t>
  </si>
  <si>
    <t xml:space="preserve">Carla </t>
  </si>
  <si>
    <t>Conte</t>
  </si>
  <si>
    <t>F</t>
  </si>
  <si>
    <t>Sergio</t>
  </si>
  <si>
    <t>Perez</t>
  </si>
  <si>
    <t>5C</t>
  </si>
  <si>
    <t>Luisa</t>
  </si>
  <si>
    <t>Ramirez</t>
  </si>
  <si>
    <t xml:space="preserve">Ramona </t>
  </si>
  <si>
    <t>Cantidad de alumnos/as Aprobados:</t>
  </si>
  <si>
    <t>Cantidad de alumnos/as de 5A:</t>
  </si>
  <si>
    <t>Cantidad de alumanas reprobadas:</t>
  </si>
  <si>
    <t>Cantidad de alumnos de 5C Aprobados:</t>
  </si>
  <si>
    <t>Carlos</t>
  </si>
  <si>
    <t>Specialli</t>
  </si>
  <si>
    <t>Precio rifas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</si>
</sst>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a333@gmail.com" TargetMode="External"/><Relationship Id="rId2" Type="http://schemas.openxmlformats.org/officeDocument/2006/relationships/hyperlink" Target="mailto:pedro1232@gmail.ocm" TargetMode="External"/><Relationship Id="rId1" Type="http://schemas.openxmlformats.org/officeDocument/2006/relationships/hyperlink" Target="mailto:gerardoluis@gmail.com" TargetMode="External"/><Relationship Id="rId4" Type="http://schemas.openxmlformats.org/officeDocument/2006/relationships/hyperlink" Target="mailto:estebanquit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C10" sqref="C10"/>
    </sheetView>
  </sheetViews>
  <sheetFormatPr baseColWidth="10" defaultRowHeight="15" x14ac:dyDescent="0.25"/>
  <cols>
    <col min="1" max="1" width="25.140625" bestFit="1" customWidth="1"/>
    <col min="2" max="2" width="18" customWidth="1"/>
    <col min="3" max="3" width="20" customWidth="1"/>
  </cols>
  <sheetData>
    <row r="1" spans="1:3" x14ac:dyDescent="0.25">
      <c r="A1" t="s">
        <v>0</v>
      </c>
      <c r="B1" t="s">
        <v>2</v>
      </c>
      <c r="C1" t="s">
        <v>0</v>
      </c>
    </row>
    <row r="2" spans="1:3" x14ac:dyDescent="0.25">
      <c r="A2" t="s">
        <v>1</v>
      </c>
      <c r="B2" t="str">
        <f>LEFT(A2,SEARCH(",",A2,1)-1)</f>
        <v>Nasso</v>
      </c>
      <c r="C2" t="str">
        <f>RIGHT(A2,LEN(A2)-SEARCH(",",A2,1)-1)</f>
        <v>Agustin</v>
      </c>
    </row>
    <row r="3" spans="1:3" x14ac:dyDescent="0.25">
      <c r="A3" t="s">
        <v>4</v>
      </c>
      <c r="B3" t="str">
        <f t="shared" ref="B3:B4" si="0">LEFT(A3,SEARCH(",",A3,1)-1)</f>
        <v>Lopezano</v>
      </c>
      <c r="C3" t="str">
        <f t="shared" ref="C3:C4" si="1">RIGHT(A3,LEN(A3)-SEARCH(",",A3,1)-1)</f>
        <v>Mariela</v>
      </c>
    </row>
    <row r="4" spans="1:3" x14ac:dyDescent="0.25">
      <c r="A4" t="s">
        <v>3</v>
      </c>
      <c r="B4" t="str">
        <f t="shared" si="0"/>
        <v>Perez olmos</v>
      </c>
      <c r="C4" t="str">
        <f t="shared" si="1"/>
        <v>Ramón Carlos</v>
      </c>
    </row>
    <row r="6" spans="1:3" x14ac:dyDescent="0.25">
      <c r="A6" t="s">
        <v>9</v>
      </c>
      <c r="B6" t="s">
        <v>10</v>
      </c>
    </row>
    <row r="7" spans="1:3" x14ac:dyDescent="0.25">
      <c r="A7" s="1" t="s">
        <v>5</v>
      </c>
      <c r="B7" t="str">
        <f>LEFT(A7,SEARCH("@",A7,1)-1)</f>
        <v>gerardoluis</v>
      </c>
    </row>
    <row r="8" spans="1:3" x14ac:dyDescent="0.25">
      <c r="A8" s="1" t="s">
        <v>6</v>
      </c>
      <c r="B8" t="str">
        <f t="shared" ref="B8:B10" si="2">LEFT(A8,SEARCH("@",A8,1)-1)</f>
        <v>pedro1232</v>
      </c>
    </row>
    <row r="9" spans="1:3" x14ac:dyDescent="0.25">
      <c r="A9" s="1" t="s">
        <v>7</v>
      </c>
      <c r="B9" t="str">
        <f t="shared" si="2"/>
        <v>ana333</v>
      </c>
    </row>
    <row r="10" spans="1:3" x14ac:dyDescent="0.25">
      <c r="A10" s="1" t="s">
        <v>8</v>
      </c>
      <c r="B10" t="str">
        <f t="shared" si="2"/>
        <v>estebanquito</v>
      </c>
    </row>
  </sheetData>
  <hyperlinks>
    <hyperlink ref="A7" r:id="rId1" xr:uid="{00000000-0004-0000-0000-000000000000}"/>
    <hyperlink ref="A8" r:id="rId2" xr:uid="{00000000-0004-0000-0000-000001000000}"/>
    <hyperlink ref="A9" r:id="rId3" xr:uid="{00000000-0004-0000-0000-000002000000}"/>
    <hyperlink ref="A10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9C61-8D63-42F0-BBED-2F97396892BC}">
  <dimension ref="A1:I12"/>
  <sheetViews>
    <sheetView tabSelected="1" workbookViewId="0">
      <selection activeCell="G16" sqref="G16"/>
    </sheetView>
  </sheetViews>
  <sheetFormatPr baseColWidth="10" defaultRowHeight="15" x14ac:dyDescent="0.25"/>
  <sheetData>
    <row r="1" spans="1:9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35</v>
      </c>
    </row>
    <row r="2" spans="1:9" x14ac:dyDescent="0.25">
      <c r="A2" t="s">
        <v>16</v>
      </c>
      <c r="B2" t="s">
        <v>17</v>
      </c>
      <c r="C2" t="s">
        <v>18</v>
      </c>
      <c r="D2" t="s">
        <v>19</v>
      </c>
      <c r="E2">
        <v>8</v>
      </c>
      <c r="F2">
        <v>250</v>
      </c>
      <c r="G2">
        <v>4</v>
      </c>
    </row>
    <row r="3" spans="1:9" x14ac:dyDescent="0.25">
      <c r="A3" t="s">
        <v>20</v>
      </c>
      <c r="B3" t="s">
        <v>21</v>
      </c>
      <c r="C3" t="s">
        <v>22</v>
      </c>
      <c r="D3" t="s">
        <v>19</v>
      </c>
      <c r="E3">
        <v>7</v>
      </c>
      <c r="F3">
        <v>110</v>
      </c>
      <c r="G3">
        <v>3</v>
      </c>
    </row>
    <row r="4" spans="1:9" x14ac:dyDescent="0.25">
      <c r="A4" t="s">
        <v>23</v>
      </c>
      <c r="B4" t="s">
        <v>24</v>
      </c>
      <c r="C4" t="s">
        <v>18</v>
      </c>
      <c r="D4" t="s">
        <v>25</v>
      </c>
      <c r="E4">
        <v>4</v>
      </c>
      <c r="F4">
        <v>100</v>
      </c>
      <c r="G4">
        <v>2</v>
      </c>
    </row>
    <row r="5" spans="1:9" x14ac:dyDescent="0.25">
      <c r="A5" t="s">
        <v>26</v>
      </c>
      <c r="B5" t="s">
        <v>27</v>
      </c>
      <c r="C5" t="s">
        <v>22</v>
      </c>
      <c r="D5" t="s">
        <v>25</v>
      </c>
      <c r="E5">
        <v>2</v>
      </c>
      <c r="F5">
        <v>350</v>
      </c>
      <c r="G5">
        <v>5</v>
      </c>
    </row>
    <row r="6" spans="1:9" x14ac:dyDescent="0.25">
      <c r="A6" t="s">
        <v>28</v>
      </c>
      <c r="B6" t="s">
        <v>17</v>
      </c>
      <c r="C6" t="s">
        <v>22</v>
      </c>
      <c r="D6" t="s">
        <v>19</v>
      </c>
      <c r="E6">
        <v>6</v>
      </c>
      <c r="F6">
        <v>500</v>
      </c>
      <c r="G6">
        <v>4</v>
      </c>
    </row>
    <row r="7" spans="1:9" x14ac:dyDescent="0.25">
      <c r="A7" t="s">
        <v>33</v>
      </c>
      <c r="B7" t="s">
        <v>34</v>
      </c>
      <c r="C7" t="s">
        <v>18</v>
      </c>
      <c r="D7" t="s">
        <v>25</v>
      </c>
      <c r="E7">
        <v>4</v>
      </c>
      <c r="F7">
        <v>200</v>
      </c>
      <c r="G7">
        <v>2</v>
      </c>
    </row>
    <row r="8" spans="1:9" x14ac:dyDescent="0.25">
      <c r="G8">
        <f>SUMPRODUCT(F2:F7,G2:G7)</f>
        <v>5680</v>
      </c>
    </row>
    <row r="9" spans="1:9" x14ac:dyDescent="0.25">
      <c r="A9" t="s">
        <v>30</v>
      </c>
      <c r="F9">
        <f>COUNTIF(D2:D7,"5a")</f>
        <v>3</v>
      </c>
    </row>
    <row r="10" spans="1:9" x14ac:dyDescent="0.25">
      <c r="A10" t="s">
        <v>29</v>
      </c>
      <c r="F10">
        <f>COUNTIF(E2:E7,"&gt;=6"
)</f>
        <v>3</v>
      </c>
      <c r="I10">
        <f>SUMIF(C2:C7,"f",G2:G7)</f>
        <v>12</v>
      </c>
    </row>
    <row r="11" spans="1:9" x14ac:dyDescent="0.25">
      <c r="A11" t="s">
        <v>31</v>
      </c>
      <c r="F11">
        <f>COUNTIFS(C2:C7,"f",E2:E7,"&lt;=5,50")</f>
        <v>1</v>
      </c>
    </row>
    <row r="12" spans="1:9" x14ac:dyDescent="0.25">
      <c r="A12" t="s">
        <v>32</v>
      </c>
      <c r="F12">
        <f>COUNTIFS(C2:C7,"m",D2:D7,"5c",E2:E7,"&gt;=6")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zzz666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 Taller Quinto año del Secundario</dc:creator>
  <cp:lastModifiedBy>Alumnos de Quinto Año</cp:lastModifiedBy>
  <dcterms:created xsi:type="dcterms:W3CDTF">2026-04-10T18:56:36Z</dcterms:created>
  <dcterms:modified xsi:type="dcterms:W3CDTF">2026-04-17T19:50:05Z</dcterms:modified>
</cp:coreProperties>
</file>